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Sheet1!$A$6:$G$11</definedName>
  </definedNames>
  <calcPr/>
</workbook>
</file>

<file path=xl/sharedStrings.xml><?xml version="1.0" encoding="utf-8"?>
<sst xmlns="http://schemas.openxmlformats.org/spreadsheetml/2006/main" count="36" uniqueCount="23">
  <si>
    <t>SALES &amp; REVENUE ANALYSIS DASHBOARD</t>
  </si>
  <si>
    <t>Total Revenue</t>
  </si>
  <si>
    <t>Total Quantity</t>
  </si>
  <si>
    <t>Total Orders</t>
  </si>
  <si>
    <t>Date</t>
  </si>
  <si>
    <t>Product</t>
  </si>
  <si>
    <t>Category</t>
  </si>
  <si>
    <t>Quantity</t>
  </si>
  <si>
    <t>Unit Price</t>
  </si>
  <si>
    <t>Revenue</t>
  </si>
  <si>
    <t>Region</t>
  </si>
  <si>
    <t>Product-wise Revenue Analysis</t>
  </si>
  <si>
    <t>Revenue vs Date</t>
  </si>
  <si>
    <t>Laptop</t>
  </si>
  <si>
    <t>Electronics</t>
  </si>
  <si>
    <t>South</t>
  </si>
  <si>
    <t>Mobile</t>
  </si>
  <si>
    <t>North</t>
  </si>
  <si>
    <t>Headphones</t>
  </si>
  <si>
    <t>Accessories</t>
  </si>
  <si>
    <t>East</t>
  </si>
  <si>
    <t>Keyboard</t>
  </si>
  <si>
    <t>West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</si>
</sst>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[$₹]#,##0.00"/>
    <numFmt numFmtId="166" formatCode="mm-dd-yyyy"/>
  </numFmts>
  <fonts count="7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b/>
      <sz val="13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3" fontId="3" numFmtId="164" xfId="0" applyAlignment="1" applyFill="1" applyFont="1" applyNumberForma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6" fontId="4" numFmtId="0" xfId="0" applyFill="1" applyFont="1"/>
    <xf borderId="0" fillId="6" fontId="4" numFmtId="0" xfId="0" applyAlignment="1" applyFill="1" applyFont="1">
      <alignment readingOrder="0"/>
    </xf>
    <xf borderId="0" fillId="6" fontId="4" numFmtId="0" xfId="0" applyAlignment="1" applyFill="1" applyFont="1">
      <alignment horizontal="center" readingOrder="0"/>
    </xf>
    <xf borderId="0" fillId="3" fontId="3" numFmtId="165" xfId="0" applyAlignment="1" applyFill="1" applyFont="1" applyNumberFormat="1">
      <alignment horizontal="center" readingOrder="0" shrinkToFit="0" textRotation="0" wrapText="0"/>
    </xf>
    <xf borderId="0" fillId="4" fontId="5" numFmtId="0" xfId="0" applyAlignment="1" applyFill="1" applyFont="1">
      <alignment horizontal="center"/>
    </xf>
    <xf borderId="0" fillId="5" fontId="5" numFmtId="0" xfId="0" applyAlignment="1" applyFill="1" applyFont="1">
      <alignment horizontal="center"/>
    </xf>
    <xf borderId="0" fillId="3" fontId="6" numFmtId="0" xfId="0" applyAlignment="1" applyFill="1" applyFont="1">
      <alignment readingOrder="0" shrinkToFit="0" wrapText="1"/>
    </xf>
    <xf borderId="0" fillId="0" fontId="4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1" fillId="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horizontal="center" readingOrder="0"/>
    </xf>
    <xf borderId="0" fillId="6" fontId="4" numFmtId="166" xfId="0" applyAlignment="1" applyFill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4" numFmtId="165" xfId="0" applyBorder="1" applyFont="1" applyNumberFormat="1"/>
    <xf borderId="1" fillId="0" fontId="4" numFmtId="166" xfId="0" applyAlignment="1" applyBorder="1" applyFont="1" applyNumberFormat="1">
      <alignment readingOrder="0"/>
    </xf>
    <xf borderId="1" fillId="0" fontId="4" numFmtId="165" xfId="0" applyAlignment="1" applyBorder="1" applyFont="1" applyNumberFormat="1">
      <alignment readingOrder="0"/>
    </xf>
    <xf borderId="0" fillId="6" fontId="2" numFmtId="0" xfId="0" applyAlignment="1" applyFill="1" applyFont="1">
      <alignment horizontal="center" readingOrder="0"/>
    </xf>
    <xf borderId="0" fillId="6" fontId="3" numFmtId="0" xfId="0" applyAlignment="1" applyFill="1" applyFont="1">
      <alignment readingOrder="0"/>
    </xf>
    <xf borderId="0" fillId="6" fontId="5" numFmtId="0" xfId="0" applyFill="1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Revenue vs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Sheet1!$J$7:$J$12</c:f>
            </c:strRef>
          </c:cat>
          <c:val>
            <c:numRef>
              <c:f>Sheet1!$K$7:$K$12</c:f>
              <c:numCache/>
            </c:numRef>
          </c:val>
          <c:smooth val="0"/>
        </c:ser>
        <c:axId val="644921419"/>
        <c:axId val="538120148"/>
      </c:lineChart>
      <c:catAx>
        <c:axId val="6449214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120148"/>
      </c:catAx>
      <c:valAx>
        <c:axId val="5381201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49214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Product-wise Revenue Analysis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Sheet1!$H$8:$H$11</c:f>
            </c:strRef>
          </c:cat>
          <c:val>
            <c:numRef>
              <c:f>Sheet1!$I$8:$I$11</c:f>
              <c:numCache/>
            </c:numRef>
          </c:val>
        </c:ser>
        <c:axId val="1399992795"/>
        <c:axId val="1514045301"/>
      </c:barChart>
      <c:catAx>
        <c:axId val="1399992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045301"/>
      </c:catAx>
      <c:valAx>
        <c:axId val="15140453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99927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561975</xdr:colOff>
      <xdr:row>13</xdr:row>
      <xdr:rowOff>9525</xdr:rowOff>
    </xdr:from>
    <xdr:ext cx="5324475" cy="2552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13</xdr:row>
      <xdr:rowOff>9525</xdr:rowOff>
    </xdr:from>
    <xdr:ext cx="5257800" cy="2552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5"/>
    <col customWidth="1" min="9" max="9" width="13.88"/>
  </cols>
  <sheetData>
    <row r="1">
      <c r="A1" s="1" t="s">
        <v>0</v>
      </c>
      <c r="M1" s="2"/>
      <c r="N1" s="2"/>
      <c r="P1" s="3"/>
      <c r="Q1" s="3"/>
    </row>
    <row r="2">
      <c r="M2" s="2"/>
      <c r="N2" s="2"/>
      <c r="P2" s="3"/>
      <c r="Q2" s="3"/>
    </row>
    <row r="3">
      <c r="A3" s="4" t="s">
        <v>1</v>
      </c>
      <c r="E3" s="5" t="s">
        <v>2</v>
      </c>
      <c r="H3" s="6" t="s">
        <v>3</v>
      </c>
      <c r="L3" s="7"/>
      <c r="M3" s="8"/>
      <c r="N3" s="8"/>
      <c r="P3" s="9"/>
      <c r="Q3" s="9"/>
    </row>
    <row r="4">
      <c r="L4" s="7"/>
      <c r="M4" s="8"/>
      <c r="N4" s="8"/>
      <c r="P4" s="9"/>
      <c r="Q4" s="9"/>
    </row>
    <row r="5">
      <c r="A5" s="10">
        <f>SUM(F7:F11)</f>
        <v>226000</v>
      </c>
      <c r="E5" s="11">
        <f>SUM(D7:D11)</f>
        <v>15</v>
      </c>
      <c r="H5" s="12">
        <f>COUNTA(A7:A11)</f>
        <v>5</v>
      </c>
      <c r="L5" s="7"/>
      <c r="M5" s="8"/>
      <c r="N5" s="8"/>
      <c r="P5" s="9"/>
      <c r="Q5" s="9"/>
    </row>
    <row r="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13" t="s">
        <v>11</v>
      </c>
      <c r="J6" s="5" t="s">
        <v>12</v>
      </c>
      <c r="L6" s="7"/>
      <c r="M6" s="8"/>
      <c r="N6" s="8"/>
      <c r="P6" s="9"/>
      <c r="Q6" s="9"/>
    </row>
    <row r="7">
      <c r="A7" s="14">
        <v>46032.0</v>
      </c>
      <c r="B7" s="15" t="s">
        <v>13</v>
      </c>
      <c r="C7" s="15" t="s">
        <v>14</v>
      </c>
      <c r="D7" s="15">
        <v>2.0</v>
      </c>
      <c r="E7" s="15">
        <v>50000.0</v>
      </c>
      <c r="F7" s="16">
        <v>100000.0</v>
      </c>
      <c r="G7" s="15" t="s">
        <v>15</v>
      </c>
      <c r="H7" s="17" t="s">
        <v>5</v>
      </c>
      <c r="I7" s="17" t="s">
        <v>1</v>
      </c>
      <c r="J7" s="18" t="s">
        <v>4</v>
      </c>
      <c r="K7" s="18" t="s">
        <v>9</v>
      </c>
      <c r="L7" s="7"/>
      <c r="M7" s="7"/>
      <c r="N7" s="7"/>
      <c r="P7" s="19"/>
      <c r="Q7" s="8"/>
    </row>
    <row r="8">
      <c r="A8" s="14">
        <v>46063.0</v>
      </c>
      <c r="B8" s="15" t="s">
        <v>16</v>
      </c>
      <c r="C8" s="15" t="s">
        <v>14</v>
      </c>
      <c r="D8" s="15">
        <v>3.0</v>
      </c>
      <c r="E8" s="15">
        <v>20000.0</v>
      </c>
      <c r="F8" s="16">
        <v>60000.0</v>
      </c>
      <c r="G8" s="15" t="s">
        <v>17</v>
      </c>
      <c r="H8" s="20" t="s">
        <v>13</v>
      </c>
      <c r="I8" s="21">
        <f t="shared" ref="I8:I11" si="1">SUMIF($B$7:$B$11,H8,$F$7:$F$11)</f>
        <v>150000</v>
      </c>
      <c r="J8" s="22">
        <v>46032.0</v>
      </c>
      <c r="K8" s="23">
        <v>100000.0</v>
      </c>
      <c r="L8" s="7"/>
      <c r="M8" s="7"/>
      <c r="N8" s="7"/>
      <c r="P8" s="19"/>
      <c r="Q8" s="8"/>
    </row>
    <row r="9">
      <c r="A9" s="14">
        <v>46091.0</v>
      </c>
      <c r="B9" s="15" t="s">
        <v>18</v>
      </c>
      <c r="C9" s="15" t="s">
        <v>19</v>
      </c>
      <c r="D9" s="15">
        <v>5.0</v>
      </c>
      <c r="E9" s="15">
        <v>2000.0</v>
      </c>
      <c r="F9" s="16">
        <v>10000.0</v>
      </c>
      <c r="G9" s="15" t="s">
        <v>20</v>
      </c>
      <c r="H9" s="20" t="s">
        <v>16</v>
      </c>
      <c r="I9" s="21">
        <f t="shared" si="1"/>
        <v>60000</v>
      </c>
      <c r="J9" s="22">
        <v>46063.0</v>
      </c>
      <c r="K9" s="23">
        <v>60000.0</v>
      </c>
      <c r="L9" s="7"/>
      <c r="M9" s="7"/>
      <c r="N9" s="7"/>
      <c r="P9" s="19"/>
      <c r="Q9" s="8"/>
    </row>
    <row r="10">
      <c r="A10" s="14">
        <v>46122.0</v>
      </c>
      <c r="B10" s="15" t="s">
        <v>21</v>
      </c>
      <c r="C10" s="15" t="s">
        <v>19</v>
      </c>
      <c r="D10" s="15">
        <v>4.0</v>
      </c>
      <c r="E10" s="15">
        <v>1500.0</v>
      </c>
      <c r="F10" s="16">
        <v>6000.0</v>
      </c>
      <c r="G10" s="15" t="s">
        <v>22</v>
      </c>
      <c r="H10" s="20" t="s">
        <v>18</v>
      </c>
      <c r="I10" s="21">
        <f t="shared" si="1"/>
        <v>10000</v>
      </c>
      <c r="J10" s="22">
        <v>46091.0</v>
      </c>
      <c r="K10" s="23">
        <v>10000.0</v>
      </c>
      <c r="L10" s="7"/>
      <c r="M10" s="24"/>
      <c r="N10" s="24"/>
      <c r="O10" s="24"/>
      <c r="P10" s="24"/>
      <c r="Q10" s="8"/>
    </row>
    <row r="11">
      <c r="A11" s="14">
        <v>46152.0</v>
      </c>
      <c r="B11" s="15" t="s">
        <v>13</v>
      </c>
      <c r="C11" s="15" t="s">
        <v>14</v>
      </c>
      <c r="D11" s="15">
        <v>1.0</v>
      </c>
      <c r="E11" s="15">
        <v>50000.0</v>
      </c>
      <c r="F11" s="16">
        <v>50000.0</v>
      </c>
      <c r="G11" s="15" t="s">
        <v>15</v>
      </c>
      <c r="H11" s="20" t="s">
        <v>21</v>
      </c>
      <c r="I11" s="21">
        <f t="shared" si="1"/>
        <v>6000</v>
      </c>
      <c r="J11" s="22">
        <v>46122.0</v>
      </c>
      <c r="K11" s="23">
        <v>6000.0</v>
      </c>
      <c r="M11" s="25"/>
      <c r="N11" s="25"/>
      <c r="O11" s="25"/>
      <c r="P11" s="25"/>
      <c r="Q11" s="8"/>
    </row>
    <row r="12">
      <c r="J12" s="22">
        <v>46152.0</v>
      </c>
      <c r="K12" s="23">
        <v>50000.0</v>
      </c>
      <c r="M12" s="26"/>
      <c r="N12" s="26"/>
      <c r="O12" s="26"/>
      <c r="P12" s="26"/>
    </row>
    <row r="18">
      <c r="T18" s="2"/>
      <c r="U18" s="2"/>
      <c r="W18" s="3"/>
      <c r="X18" s="3"/>
    </row>
    <row r="19">
      <c r="W19" s="14"/>
    </row>
    <row r="20">
      <c r="W20" s="14"/>
    </row>
    <row r="21">
      <c r="L21" s="27"/>
      <c r="W21" s="14"/>
    </row>
    <row r="22">
      <c r="W22" s="14"/>
    </row>
    <row r="23">
      <c r="W23" s="14"/>
    </row>
  </sheetData>
  <autoFilter ref="$A$6:$G$11"/>
  <mergeCells count="9">
    <mergeCell ref="H6:I6"/>
    <mergeCell ref="J6:K6"/>
    <mergeCell ref="A1:K2"/>
    <mergeCell ref="A3:D4"/>
    <mergeCell ref="E3:G4"/>
    <mergeCell ref="H3:K4"/>
    <mergeCell ref="A5:D5"/>
    <mergeCell ref="E5:G5"/>
    <mergeCell ref="H5:K5"/>
  </mergeCells>
  <drawing r:id="rId1"/>
</worksheet>
</file>